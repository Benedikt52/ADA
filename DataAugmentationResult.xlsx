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ADA\"/>
    </mc:Choice>
  </mc:AlternateContent>
  <xr:revisionPtr revIDLastSave="0" documentId="13_ncr:1_{E068521A-1F85-4CC8-A44A-4D9BB57C5B21}" xr6:coauthVersionLast="47" xr6:coauthVersionMax="47" xr10:uidLastSave="{00000000-0000-0000-0000-000000000000}"/>
  <bookViews>
    <workbookView xWindow="-120" yWindow="-120" windowWidth="29040" windowHeight="15720" xr2:uid="{3BB353AA-44C7-499C-B64C-BB9FF7C081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  <c r="E38" i="1"/>
  <c r="F38" i="1"/>
  <c r="H38" i="1"/>
  <c r="F33" i="1"/>
  <c r="G33" i="1"/>
  <c r="H33" i="1"/>
  <c r="E33" i="1"/>
  <c r="E23" i="1"/>
  <c r="H23" i="1"/>
  <c r="G23" i="1"/>
  <c r="F23" i="1"/>
  <c r="P20" i="1"/>
  <c r="O20" i="1"/>
  <c r="N20" i="1"/>
  <c r="M20" i="1"/>
  <c r="P18" i="1"/>
  <c r="O18" i="1"/>
  <c r="N18" i="1"/>
  <c r="M18" i="1"/>
  <c r="P15" i="1"/>
  <c r="O15" i="1"/>
  <c r="N15" i="1"/>
  <c r="M15" i="1"/>
  <c r="P13" i="1"/>
  <c r="O13" i="1"/>
  <c r="N13" i="1"/>
  <c r="M13" i="1"/>
  <c r="P11" i="1"/>
  <c r="O11" i="1"/>
  <c r="N11" i="1"/>
  <c r="M11" i="1"/>
  <c r="H20" i="1"/>
  <c r="G20" i="1"/>
  <c r="F20" i="1"/>
  <c r="E20" i="1"/>
  <c r="E18" i="1"/>
  <c r="H18" i="1"/>
  <c r="G18" i="1"/>
  <c r="F18" i="1"/>
  <c r="H13" i="1"/>
  <c r="G13" i="1"/>
  <c r="F13" i="1"/>
  <c r="E13" i="1"/>
  <c r="E11" i="1"/>
  <c r="H11" i="1"/>
  <c r="G11" i="1"/>
  <c r="F11" i="1"/>
  <c r="E15" i="1"/>
  <c r="G15" i="1"/>
  <c r="F15" i="1"/>
  <c r="H15" i="1"/>
</calcChain>
</file>

<file path=xl/sharedStrings.xml><?xml version="1.0" encoding="utf-8"?>
<sst xmlns="http://schemas.openxmlformats.org/spreadsheetml/2006/main" count="31" uniqueCount="20">
  <si>
    <t>Augmentation</t>
  </si>
  <si>
    <t>Baseline</t>
  </si>
  <si>
    <t>Accuracy</t>
  </si>
  <si>
    <t>Precision</t>
  </si>
  <si>
    <t>Recall</t>
  </si>
  <si>
    <t>F1-Score</t>
  </si>
  <si>
    <t>Rotation (+-15°)</t>
  </si>
  <si>
    <t>Rotation(+-5°)</t>
  </si>
  <si>
    <t>Rotation (+-10°)</t>
  </si>
  <si>
    <t>Horizontal and vertical flip</t>
  </si>
  <si>
    <t>Width and height shift (0.1)</t>
  </si>
  <si>
    <t>10 Epochen</t>
  </si>
  <si>
    <t>20 Epochen</t>
  </si>
  <si>
    <t>Rotation(+-5°)
Width and height shift (0.1)
Horizontal and vertical flip</t>
  </si>
  <si>
    <t>Models getestet auf Augmentierten Testdaten</t>
  </si>
  <si>
    <t>Baseline - augmentierte Daten</t>
  </si>
  <si>
    <t>Baseline - Standard Daten</t>
  </si>
  <si>
    <t>Kombination* - Standard Daten</t>
  </si>
  <si>
    <t>Kombination* - augmentierte Daten</t>
  </si>
  <si>
    <t>* Rotation(+-5°)
Width and height shift (0.1)
Horizontal and vertical flip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</si>
</sst>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35"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rgb="FF92D050"/>
      </font>
    </dxf>
    <dxf>
      <font>
        <color rgb="FF00B050"/>
      </font>
    </dxf>
    <dxf>
      <font>
        <color rgb="FF9C0006"/>
      </font>
    </dxf>
    <dxf>
      <font>
        <color rgb="FF92D050"/>
      </font>
    </dxf>
    <dxf>
      <font>
        <color rgb="FF00B050"/>
      </font>
    </dxf>
    <dxf>
      <font>
        <color rgb="FF9C0006"/>
      </font>
    </dxf>
    <dxf>
      <font>
        <color rgb="FF92D050"/>
      </font>
    </dxf>
    <dxf>
      <font>
        <color rgb="FF00B050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A3B8-6197-4096-80B6-9BEC46D59AEE}">
  <dimension ref="C4:P40"/>
  <sheetViews>
    <sheetView tabSelected="1" topLeftCell="A16" workbookViewId="0">
      <selection activeCell="C41" sqref="C41"/>
    </sheetView>
  </sheetViews>
  <sheetFormatPr baseColWidth="10" defaultRowHeight="15" x14ac:dyDescent="0.25"/>
  <cols>
    <col min="3" max="3" width="33.140625" customWidth="1"/>
    <col min="11" max="11" width="25.42578125" bestFit="1" customWidth="1"/>
  </cols>
  <sheetData>
    <row r="4" spans="3:16" x14ac:dyDescent="0.25">
      <c r="C4" t="s">
        <v>11</v>
      </c>
      <c r="K4" t="s">
        <v>12</v>
      </c>
    </row>
    <row r="6" spans="3:16" x14ac:dyDescent="0.25">
      <c r="C6" s="1" t="s">
        <v>0</v>
      </c>
      <c r="D6" s="1"/>
      <c r="E6" s="1" t="s">
        <v>2</v>
      </c>
      <c r="F6" s="1" t="s">
        <v>3</v>
      </c>
      <c r="G6" s="1" t="s">
        <v>4</v>
      </c>
      <c r="H6" s="1" t="s">
        <v>5</v>
      </c>
      <c r="K6" s="1" t="s">
        <v>0</v>
      </c>
      <c r="L6" s="1"/>
      <c r="M6" s="1" t="s">
        <v>2</v>
      </c>
      <c r="N6" s="1" t="s">
        <v>3</v>
      </c>
      <c r="O6" s="1" t="s">
        <v>4</v>
      </c>
      <c r="P6" s="1" t="s">
        <v>5</v>
      </c>
    </row>
    <row r="8" spans="3:16" x14ac:dyDescent="0.25">
      <c r="C8" t="s">
        <v>1</v>
      </c>
      <c r="E8">
        <v>0.96599999999999997</v>
      </c>
      <c r="F8">
        <v>0.97009999999999996</v>
      </c>
      <c r="G8">
        <v>0.96840000000000004</v>
      </c>
      <c r="H8">
        <v>0.96919999999999995</v>
      </c>
      <c r="K8" t="s">
        <v>1</v>
      </c>
      <c r="M8">
        <v>0.9667</v>
      </c>
      <c r="N8">
        <v>0.97560000000000002</v>
      </c>
      <c r="O8">
        <v>0.96379999999999999</v>
      </c>
      <c r="P8">
        <v>0.96960000000000002</v>
      </c>
    </row>
    <row r="10" spans="3:16" x14ac:dyDescent="0.25">
      <c r="C10" t="s">
        <v>7</v>
      </c>
      <c r="E10">
        <v>0.96099999999999997</v>
      </c>
      <c r="F10">
        <v>0.97499999999999998</v>
      </c>
      <c r="G10">
        <v>0.95369999999999999</v>
      </c>
      <c r="H10">
        <v>0.96430000000000005</v>
      </c>
      <c r="K10" t="s">
        <v>7</v>
      </c>
      <c r="M10">
        <v>0.96409999999999996</v>
      </c>
      <c r="N10">
        <v>0.97050000000000003</v>
      </c>
      <c r="O10">
        <v>0.96440000000000003</v>
      </c>
      <c r="P10">
        <v>0.96740000000000004</v>
      </c>
    </row>
    <row r="11" spans="3:16" x14ac:dyDescent="0.25">
      <c r="E11">
        <f>E10-E$8</f>
        <v>-5.0000000000000044E-3</v>
      </c>
      <c r="F11">
        <f>F10-F$8</f>
        <v>4.9000000000000155E-3</v>
      </c>
      <c r="G11">
        <f>G10-G$8</f>
        <v>-1.4700000000000046E-2</v>
      </c>
      <c r="H11">
        <f>H10-H$8</f>
        <v>-4.8999999999999044E-3</v>
      </c>
      <c r="M11">
        <f>M10-M$8</f>
        <v>-2.6000000000000467E-3</v>
      </c>
      <c r="N11">
        <f>N10-N$8</f>
        <v>-5.0999999999999934E-3</v>
      </c>
      <c r="O11">
        <f>O10-O$8</f>
        <v>6.0000000000004494E-4</v>
      </c>
      <c r="P11">
        <f>P10-P$8</f>
        <v>-2.1999999999999797E-3</v>
      </c>
    </row>
    <row r="12" spans="3:16" x14ac:dyDescent="0.25">
      <c r="C12" t="s">
        <v>8</v>
      </c>
      <c r="E12">
        <v>0.94289999999999996</v>
      </c>
      <c r="F12">
        <v>0.95609999999999995</v>
      </c>
      <c r="G12">
        <v>0.93969999999999998</v>
      </c>
      <c r="H12">
        <v>0.94779999999999998</v>
      </c>
      <c r="K12" t="s">
        <v>8</v>
      </c>
      <c r="M12">
        <v>0.9637</v>
      </c>
      <c r="N12">
        <v>0.97240000000000004</v>
      </c>
      <c r="O12">
        <v>0.96150000000000002</v>
      </c>
      <c r="P12">
        <v>0.96689999999999998</v>
      </c>
    </row>
    <row r="13" spans="3:16" x14ac:dyDescent="0.25">
      <c r="E13">
        <f>E12-E$8</f>
        <v>-2.3100000000000009E-2</v>
      </c>
      <c r="F13">
        <f>F12-F$8</f>
        <v>-1.4000000000000012E-2</v>
      </c>
      <c r="G13">
        <f>G12-G$8</f>
        <v>-2.8700000000000059E-2</v>
      </c>
      <c r="H13">
        <f>H12-H$8</f>
        <v>-2.1399999999999975E-2</v>
      </c>
      <c r="M13">
        <f>M12-M$8</f>
        <v>-3.0000000000000027E-3</v>
      </c>
      <c r="N13">
        <f>N12-N$8</f>
        <v>-3.1999999999999806E-3</v>
      </c>
      <c r="O13">
        <f>O12-O$8</f>
        <v>-2.2999999999999687E-3</v>
      </c>
      <c r="P13">
        <f>P12-P$8</f>
        <v>-2.7000000000000357E-3</v>
      </c>
    </row>
    <row r="14" spans="3:16" x14ac:dyDescent="0.25">
      <c r="C14" t="s">
        <v>6</v>
      </c>
      <c r="E14">
        <v>0.95920000000000005</v>
      </c>
      <c r="F14">
        <v>0.97160000000000002</v>
      </c>
      <c r="G14">
        <v>0.95399999999999996</v>
      </c>
      <c r="H14">
        <v>0.9627</v>
      </c>
      <c r="K14" t="s">
        <v>6</v>
      </c>
      <c r="M14">
        <v>0.95899999999999996</v>
      </c>
      <c r="N14">
        <v>0.96030000000000004</v>
      </c>
      <c r="O14">
        <v>0.9657</v>
      </c>
      <c r="P14">
        <v>0.96299999999999997</v>
      </c>
    </row>
    <row r="15" spans="3:16" x14ac:dyDescent="0.25">
      <c r="E15">
        <f>E14-E$8</f>
        <v>-6.7999999999999172E-3</v>
      </c>
      <c r="F15">
        <f>F14-F$8</f>
        <v>1.5000000000000568E-3</v>
      </c>
      <c r="G15">
        <f>G14-G$8</f>
        <v>-1.4400000000000079E-2</v>
      </c>
      <c r="H15">
        <f>H14-H$8</f>
        <v>-6.4999999999999503E-3</v>
      </c>
      <c r="M15">
        <f>M14-M$8</f>
        <v>-7.7000000000000401E-3</v>
      </c>
      <c r="N15">
        <f>N14-N$8</f>
        <v>-1.529999999999998E-2</v>
      </c>
      <c r="O15">
        <f>O14-O$8</f>
        <v>1.9000000000000128E-3</v>
      </c>
      <c r="P15">
        <f>P14-P$8</f>
        <v>-6.6000000000000503E-3</v>
      </c>
    </row>
    <row r="17" spans="3:16" x14ac:dyDescent="0.25">
      <c r="C17" t="s">
        <v>10</v>
      </c>
      <c r="E17">
        <v>0.95620000000000005</v>
      </c>
      <c r="F17">
        <v>0.95079999999999998</v>
      </c>
      <c r="G17">
        <v>0.97099999999999997</v>
      </c>
      <c r="H17">
        <v>0.96079999999999999</v>
      </c>
      <c r="K17" t="s">
        <v>10</v>
      </c>
      <c r="M17">
        <v>0.96709999999999996</v>
      </c>
      <c r="N17">
        <v>0.97070000000000001</v>
      </c>
      <c r="O17">
        <v>0.9698</v>
      </c>
      <c r="P17">
        <v>0.97019999999999995</v>
      </c>
    </row>
    <row r="18" spans="3:16" x14ac:dyDescent="0.25">
      <c r="E18">
        <f>E17-E$8</f>
        <v>-9.7999999999999199E-3</v>
      </c>
      <c r="F18">
        <f>F17-F$8</f>
        <v>-1.9299999999999984E-2</v>
      </c>
      <c r="G18">
        <f>G17-G$8</f>
        <v>2.5999999999999357E-3</v>
      </c>
      <c r="H18">
        <f>H17-H$8</f>
        <v>-8.3999999999999631E-3</v>
      </c>
      <c r="M18">
        <f>M17-M$8</f>
        <v>3.9999999999995595E-4</v>
      </c>
      <c r="N18">
        <f>N17-N$8</f>
        <v>-4.9000000000000155E-3</v>
      </c>
      <c r="O18">
        <f>O17-O$8</f>
        <v>6.0000000000000053E-3</v>
      </c>
      <c r="P18">
        <f>P17-P$8</f>
        <v>5.9999999999993392E-4</v>
      </c>
    </row>
    <row r="19" spans="3:16" x14ac:dyDescent="0.25">
      <c r="C19" t="s">
        <v>9</v>
      </c>
      <c r="E19">
        <v>0.96430000000000005</v>
      </c>
      <c r="F19">
        <v>0.97629999999999995</v>
      </c>
      <c r="G19">
        <v>0.95860000000000001</v>
      </c>
      <c r="H19">
        <v>0.96740000000000004</v>
      </c>
      <c r="K19" t="s">
        <v>9</v>
      </c>
      <c r="M19">
        <v>0.96899999999999997</v>
      </c>
      <c r="N19">
        <v>0.97</v>
      </c>
      <c r="O19">
        <v>0.97409999999999997</v>
      </c>
      <c r="P19">
        <v>0.97199999999999998</v>
      </c>
    </row>
    <row r="20" spans="3:16" x14ac:dyDescent="0.25">
      <c r="E20">
        <f>E19-E$8</f>
        <v>-1.6999999999999238E-3</v>
      </c>
      <c r="F20">
        <f>F19-F$8</f>
        <v>6.1999999999999833E-3</v>
      </c>
      <c r="G20">
        <f>G19-G$8</f>
        <v>-9.8000000000000309E-3</v>
      </c>
      <c r="H20">
        <f>H19-H$8</f>
        <v>-1.7999999999999128E-3</v>
      </c>
      <c r="M20">
        <f>M19-M$8</f>
        <v>2.2999999999999687E-3</v>
      </c>
      <c r="N20">
        <f>N19-N$8</f>
        <v>-5.6000000000000494E-3</v>
      </c>
      <c r="O20">
        <f>O19-O$8</f>
        <v>1.0299999999999976E-2</v>
      </c>
      <c r="P20">
        <f>P19-P$8</f>
        <v>2.3999999999999577E-3</v>
      </c>
    </row>
    <row r="22" spans="3:16" ht="45" x14ac:dyDescent="0.25">
      <c r="C22" s="2" t="s">
        <v>13</v>
      </c>
      <c r="E22">
        <v>0.94169999999999998</v>
      </c>
      <c r="F22">
        <v>0.98499999999999999</v>
      </c>
      <c r="G22">
        <v>0.9083</v>
      </c>
      <c r="H22">
        <v>0.94510000000000005</v>
      </c>
    </row>
    <row r="23" spans="3:16" x14ac:dyDescent="0.25">
      <c r="E23">
        <f>E22-E$8</f>
        <v>-2.4299999999999988E-2</v>
      </c>
      <c r="F23">
        <f>F22-F$8</f>
        <v>1.4900000000000024E-2</v>
      </c>
      <c r="G23">
        <f>G22-G$8</f>
        <v>-6.0100000000000042E-2</v>
      </c>
      <c r="H23">
        <f>H22-H$8</f>
        <v>-2.4099999999999899E-2</v>
      </c>
    </row>
    <row r="29" spans="3:16" x14ac:dyDescent="0.25">
      <c r="C29" t="s">
        <v>14</v>
      </c>
    </row>
    <row r="31" spans="3:16" x14ac:dyDescent="0.25">
      <c r="C31" t="s">
        <v>16</v>
      </c>
      <c r="E31">
        <v>0.96140000000000003</v>
      </c>
      <c r="F31">
        <v>0.97560000000000002</v>
      </c>
      <c r="G31">
        <v>0.95399999999999996</v>
      </c>
      <c r="H31">
        <v>0.9647</v>
      </c>
    </row>
    <row r="32" spans="3:16" x14ac:dyDescent="0.25">
      <c r="C32" t="s">
        <v>15</v>
      </c>
      <c r="E32">
        <v>0.8962</v>
      </c>
      <c r="F32">
        <v>0.86119999999999997</v>
      </c>
      <c r="G32">
        <v>0.96809999999999996</v>
      </c>
      <c r="H32">
        <v>0.91149999999999998</v>
      </c>
    </row>
    <row r="33" spans="3:8" x14ac:dyDescent="0.25">
      <c r="E33">
        <f>E32-E$31</f>
        <v>-6.5200000000000036E-2</v>
      </c>
      <c r="F33">
        <f t="shared" ref="F33:H33" si="0">F32-F$31</f>
        <v>-0.11440000000000006</v>
      </c>
      <c r="G33">
        <f t="shared" si="0"/>
        <v>1.4100000000000001E-2</v>
      </c>
      <c r="H33">
        <f t="shared" si="0"/>
        <v>-5.3200000000000025E-2</v>
      </c>
    </row>
    <row r="36" spans="3:8" x14ac:dyDescent="0.25">
      <c r="C36" s="2" t="s">
        <v>17</v>
      </c>
      <c r="E36">
        <v>0.94169999999999998</v>
      </c>
      <c r="F36">
        <v>0.98499999999999999</v>
      </c>
      <c r="G36">
        <v>0.9083</v>
      </c>
      <c r="H36">
        <v>0.94510000000000005</v>
      </c>
    </row>
    <row r="37" spans="3:8" x14ac:dyDescent="0.25">
      <c r="C37" t="s">
        <v>18</v>
      </c>
      <c r="E37">
        <v>0.96109999999999995</v>
      </c>
      <c r="F37">
        <v>0.96550000000000002</v>
      </c>
      <c r="G37">
        <v>0.96409999999999996</v>
      </c>
      <c r="H37">
        <v>0.96479999999999999</v>
      </c>
    </row>
    <row r="38" spans="3:8" x14ac:dyDescent="0.25">
      <c r="E38">
        <f>E37-E$36</f>
        <v>1.9399999999999973E-2</v>
      </c>
      <c r="F38">
        <f t="shared" ref="F38:H38" si="1">F37-F$36</f>
        <v>-1.9499999999999962E-2</v>
      </c>
      <c r="G38">
        <f>G37-G$36</f>
        <v>5.5799999999999961E-2</v>
      </c>
      <c r="H38">
        <f t="shared" si="1"/>
        <v>1.969999999999994E-2</v>
      </c>
    </row>
    <row r="40" spans="3:8" ht="45" x14ac:dyDescent="0.25">
      <c r="C40" s="2" t="s">
        <v>19</v>
      </c>
    </row>
  </sheetData>
  <conditionalFormatting sqref="E11:H11">
    <cfRule type="cellIs" dxfId="34" priority="32" operator="lessThan">
      <formula>0</formula>
    </cfRule>
    <cfRule type="cellIs" dxfId="33" priority="33" operator="greaterThan">
      <formula>0</formula>
    </cfRule>
  </conditionalFormatting>
  <conditionalFormatting sqref="E13:H13">
    <cfRule type="cellIs" dxfId="32" priority="30" operator="lessThan">
      <formula>0</formula>
    </cfRule>
    <cfRule type="cellIs" dxfId="31" priority="31" operator="greaterThan">
      <formula>0</formula>
    </cfRule>
  </conditionalFormatting>
  <conditionalFormatting sqref="E15:H15">
    <cfRule type="cellIs" dxfId="30" priority="40" operator="lessThan">
      <formula>0</formula>
    </cfRule>
    <cfRule type="cellIs" dxfId="29" priority="41" operator="greaterThan">
      <formula>0</formula>
    </cfRule>
  </conditionalFormatting>
  <conditionalFormatting sqref="E18:H18">
    <cfRule type="cellIs" dxfId="28" priority="28" operator="lessThan">
      <formula>0</formula>
    </cfRule>
    <cfRule type="cellIs" dxfId="27" priority="29" operator="greaterThan">
      <formula>0</formula>
    </cfRule>
  </conditionalFormatting>
  <conditionalFormatting sqref="E20:H20">
    <cfRule type="cellIs" dxfId="26" priority="26" operator="lessThan">
      <formula>0</formula>
    </cfRule>
    <cfRule type="cellIs" dxfId="25" priority="27" operator="greaterThan">
      <formula>0</formula>
    </cfRule>
  </conditionalFormatting>
  <conditionalFormatting sqref="M11:P11">
    <cfRule type="cellIs" dxfId="24" priority="22" operator="lessThan">
      <formula>0</formula>
    </cfRule>
    <cfRule type="cellIs" dxfId="23" priority="23" operator="greaterThan">
      <formula>0</formula>
    </cfRule>
  </conditionalFormatting>
  <conditionalFormatting sqref="M13:P13">
    <cfRule type="cellIs" dxfId="22" priority="20" operator="lessThan">
      <formula>0</formula>
    </cfRule>
    <cfRule type="cellIs" dxfId="21" priority="21" operator="greaterThan">
      <formula>0</formula>
    </cfRule>
  </conditionalFormatting>
  <conditionalFormatting sqref="M15:P15">
    <cfRule type="cellIs" dxfId="20" priority="24" operator="lessThan">
      <formula>0</formula>
    </cfRule>
    <cfRule type="cellIs" dxfId="19" priority="25" operator="greaterThan">
      <formula>0</formula>
    </cfRule>
  </conditionalFormatting>
  <conditionalFormatting sqref="M18:P18">
    <cfRule type="cellIs" dxfId="18" priority="18" operator="lessThan">
      <formula>0</formula>
    </cfRule>
    <cfRule type="cellIs" dxfId="17" priority="19" operator="greaterThan">
      <formula>0</formula>
    </cfRule>
  </conditionalFormatting>
  <conditionalFormatting sqref="M20:P20">
    <cfRule type="cellIs" dxfId="16" priority="16" operator="lessThan">
      <formula>0</formula>
    </cfRule>
    <cfRule type="cellIs" dxfId="15" priority="17" operator="greaterThan">
      <formula>0</formula>
    </cfRule>
  </conditionalFormatting>
  <conditionalFormatting sqref="M9:P9">
    <cfRule type="cellIs" dxfId="14" priority="13" operator="lessThan">
      <formula>0</formula>
    </cfRule>
    <cfRule type="cellIs" dxfId="13" priority="14" operator="greaterThan">
      <formula>0</formula>
    </cfRule>
    <cfRule type="cellIs" dxfId="12" priority="15" operator="greaterThan">
      <formula>0.00405</formula>
    </cfRule>
  </conditionalFormatting>
  <conditionalFormatting sqref="E23:H23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E33:H3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38:H3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Schulte-Glade</dc:creator>
  <cp:lastModifiedBy>Philipp Schulte-Glade</cp:lastModifiedBy>
  <dcterms:created xsi:type="dcterms:W3CDTF">2025-05-24T14:50:25Z</dcterms:created>
  <dcterms:modified xsi:type="dcterms:W3CDTF">2025-06-06T10:42:21Z</dcterms:modified>
</cp:coreProperties>
</file>